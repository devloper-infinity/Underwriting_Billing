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k\Desktop\"/>
    </mc:Choice>
  </mc:AlternateContent>
  <xr:revisionPtr revIDLastSave="0" documentId="13_ncr:1_{B8C3B653-50BF-4B48-92A9-5A692FC77F82}" xr6:coauthVersionLast="47" xr6:coauthVersionMax="47" xr10:uidLastSave="{00000000-0000-0000-0000-000000000000}"/>
  <bookViews>
    <workbookView xWindow="-120" yWindow="-120" windowWidth="20730" windowHeight="11160" xr2:uid="{2CA818D7-0950-48E3-BAB4-3040C6D7082D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J2" i="1"/>
  <c r="K2" i="1" s="1"/>
  <c r="J3" i="1" l="1"/>
  <c r="K3" i="1" s="1"/>
</calcChain>
</file>

<file path=xl/sharedStrings.xml><?xml version="1.0" encoding="utf-8"?>
<sst xmlns="http://schemas.openxmlformats.org/spreadsheetml/2006/main" count="13" uniqueCount="12">
  <si>
    <t>Loan ID</t>
  </si>
  <si>
    <t>Transaction Identifier</t>
  </si>
  <si>
    <t>Completion Date</t>
  </si>
  <si>
    <t>Per File Rate</t>
  </si>
  <si>
    <t>CDA</t>
  </si>
  <si>
    <t>BPO</t>
  </si>
  <si>
    <t>AVM</t>
  </si>
  <si>
    <t>Reliance Letter</t>
  </si>
  <si>
    <t>Securitization Services</t>
  </si>
  <si>
    <t>Third Party Products - Admin Fee</t>
  </si>
  <si>
    <t>TOTAL</t>
  </si>
  <si>
    <t>Radian-0845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</si>
</sst>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0"/>
      <color theme="1"/>
      <name val="Aptos Narrow"/>
      <family val="2"/>
    </font>
    <font>
      <sz val="10"/>
      <color theme="1"/>
      <name val="Aptos Narrow"/>
      <family val="2"/>
    </font>
    <font>
      <b/>
      <sz val="1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2" fontId="2" fillId="0" borderId="1" xfId="2" applyNumberFormat="1" applyFont="1" applyFill="1" applyBorder="1" applyAlignment="1">
      <alignment horizontal="center" vertical="center"/>
    </xf>
    <xf numFmtId="2" fontId="2" fillId="0" borderId="1" xfId="1" applyNumberFormat="1" applyFont="1" applyFill="1" applyBorder="1" applyAlignment="1">
      <alignment horizontal="center" vertical="center"/>
    </xf>
    <xf numFmtId="2" fontId="2" fillId="0" borderId="1" xfId="2" applyNumberFormat="1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horizontal="center" vertical="center"/>
    </xf>
    <xf numFmtId="2" fontId="0" fillId="2" borderId="1" xfId="2" applyNumberFormat="1" applyFont="1" applyFill="1" applyBorder="1" applyAlignment="1">
      <alignment horizontal="center" vertical="center"/>
    </xf>
    <xf numFmtId="2" fontId="0" fillId="2" borderId="1" xfId="1" applyNumberFormat="1" applyFont="1" applyFill="1" applyBorder="1" applyAlignment="1">
      <alignment horizontal="center" vertical="center"/>
    </xf>
  </cellXfs>
  <cellStyles count="3">
    <cellStyle name="Comma" xfId="1" builtinId="3"/>
    <cellStyle name="Currency" xfId="2" builtinId="4"/>
    <cellStyle name="Normal" xfId="0" builtinId="0"/>
  </cellStyles>
  <dxfs count="2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MP\Desktop\04-2024%20Client%20Billing\012025-Canopy%20Flow%20billing%20BCS.xlsx" TargetMode="External"/><Relationship Id="rId1" Type="http://schemas.openxmlformats.org/officeDocument/2006/relationships/externalLinkPath" Target="/Users/JMP/Desktop/04-2024%20Client%20Billing/012025-Canopy%20Flow%20billing%20BC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iginal Pull"/>
      <sheetName val="Summary"/>
      <sheetName val="Sterwar-II"/>
      <sheetName val="ASF"/>
      <sheetName val="Sterwart"/>
      <sheetName val="Supplimental"/>
      <sheetName val="Jan-25 Loan Details 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H2">
            <v>1246915</v>
          </cell>
          <cell r="I2">
            <v>9112681</v>
          </cell>
          <cell r="J2" t="str">
            <v>Roberto Ladaga</v>
          </cell>
          <cell r="K2" t="str">
            <v>7180 SW 209th Ave</v>
          </cell>
          <cell r="M2" t="str">
            <v>Dunnellon</v>
          </cell>
          <cell r="N2" t="str">
            <v>FL</v>
          </cell>
          <cell r="O2" t="str">
            <v>34431</v>
          </cell>
          <cell r="P2">
            <v>145</v>
          </cell>
        </row>
        <row r="3">
          <cell r="H3">
            <v>1252044</v>
          </cell>
          <cell r="I3">
            <v>9114413</v>
          </cell>
          <cell r="J3" t="str">
            <v>Lawrence Kraus &amp; Jolene Kraus</v>
          </cell>
          <cell r="K3" t="str">
            <v>4114 Pleasant Ridge Dr</v>
          </cell>
          <cell r="M3" t="str">
            <v>Spring</v>
          </cell>
          <cell r="N3" t="str">
            <v>TX</v>
          </cell>
          <cell r="O3" t="str">
            <v>77386</v>
          </cell>
          <cell r="P3">
            <v>145</v>
          </cell>
        </row>
        <row r="4">
          <cell r="H4">
            <v>1251502</v>
          </cell>
          <cell r="I4">
            <v>9114414</v>
          </cell>
          <cell r="J4" t="str">
            <v>BENjAMIN ADLERMAN</v>
          </cell>
          <cell r="K4" t="str">
            <v>20 W 19TH ST # 4A</v>
          </cell>
          <cell r="M4" t="str">
            <v>weehawken</v>
          </cell>
          <cell r="N4" t="str">
            <v>NJ</v>
          </cell>
          <cell r="O4" t="str">
            <v>07086</v>
          </cell>
          <cell r="P4">
            <v>145</v>
          </cell>
        </row>
        <row r="5">
          <cell r="H5">
            <v>1251602</v>
          </cell>
          <cell r="I5">
            <v>9114415</v>
          </cell>
          <cell r="J5" t="str">
            <v>John Wutschel &amp; Emma Dahl</v>
          </cell>
          <cell r="K5" t="str">
            <v>259 14th St NE Unit# 203</v>
          </cell>
          <cell r="M5" t="str">
            <v>Atlanta</v>
          </cell>
          <cell r="N5" t="str">
            <v>GA</v>
          </cell>
          <cell r="O5" t="str">
            <v>30309</v>
          </cell>
          <cell r="P5">
            <v>145</v>
          </cell>
        </row>
        <row r="6">
          <cell r="H6">
            <v>1251848</v>
          </cell>
          <cell r="I6">
            <v>9114416</v>
          </cell>
          <cell r="J6" t="str">
            <v>Damien Lefebvre</v>
          </cell>
          <cell r="K6" t="str">
            <v>909 W Washington Blvd Unit#1002</v>
          </cell>
          <cell r="M6" t="str">
            <v>Chicago</v>
          </cell>
          <cell r="N6" t="str">
            <v>IL</v>
          </cell>
          <cell r="O6" t="str">
            <v>60607</v>
          </cell>
          <cell r="P6">
            <v>145</v>
          </cell>
        </row>
        <row r="7">
          <cell r="H7">
            <v>1251534</v>
          </cell>
          <cell r="I7">
            <v>9114417</v>
          </cell>
          <cell r="J7" t="str">
            <v>JOSEPH WINSLOW</v>
          </cell>
          <cell r="K7" t="str">
            <v>1766 W FOXGLEN CT</v>
          </cell>
          <cell r="M7" t="str">
            <v>HERNANDO</v>
          </cell>
          <cell r="N7" t="str">
            <v>FL</v>
          </cell>
          <cell r="O7" t="str">
            <v>34442</v>
          </cell>
          <cell r="P7">
            <v>145</v>
          </cell>
        </row>
        <row r="8">
          <cell r="H8">
            <v>1254316</v>
          </cell>
          <cell r="I8">
            <v>9114418</v>
          </cell>
          <cell r="J8" t="str">
            <v>Christina Margaret &amp; Kyle Patrick Robinson</v>
          </cell>
          <cell r="K8" t="str">
            <v>7110 Turquoise ST</v>
          </cell>
          <cell r="M8" t="str">
            <v>Prescott</v>
          </cell>
          <cell r="N8" t="str">
            <v>AZ</v>
          </cell>
          <cell r="O8" t="str">
            <v>86305</v>
          </cell>
          <cell r="P8">
            <v>145</v>
          </cell>
        </row>
        <row r="9">
          <cell r="H9">
            <v>1254349</v>
          </cell>
          <cell r="I9">
            <v>9115293</v>
          </cell>
          <cell r="J9" t="str">
            <v>Zette Bijoux &amp; Enork Eloi</v>
          </cell>
          <cell r="K9" t="str">
            <v>517 SW 3rd Ter</v>
          </cell>
          <cell r="M9" t="str">
            <v>Homestead</v>
          </cell>
          <cell r="N9" t="str">
            <v>FL</v>
          </cell>
          <cell r="O9" t="str">
            <v>33030</v>
          </cell>
          <cell r="P9">
            <v>145</v>
          </cell>
        </row>
        <row r="10">
          <cell r="H10">
            <v>1254291</v>
          </cell>
          <cell r="I10">
            <v>9116715</v>
          </cell>
          <cell r="J10" t="str">
            <v>Cristopher Coffield</v>
          </cell>
          <cell r="K10" t="str">
            <v>5301 N Argonne Ln Apt 7</v>
          </cell>
          <cell r="M10" t="str">
            <v>Spokane</v>
          </cell>
          <cell r="N10" t="str">
            <v>WA</v>
          </cell>
          <cell r="O10" t="str">
            <v>99212</v>
          </cell>
          <cell r="P10">
            <v>95</v>
          </cell>
        </row>
        <row r="11">
          <cell r="H11">
            <v>1256449</v>
          </cell>
          <cell r="I11">
            <v>9118926</v>
          </cell>
          <cell r="J11" t="str">
            <v>Anish Mandal</v>
          </cell>
          <cell r="K11" t="str">
            <v>375 N. Geyserville Way</v>
          </cell>
          <cell r="M11" t="str">
            <v>Mountain House</v>
          </cell>
          <cell r="N11" t="str">
            <v>CA</v>
          </cell>
          <cell r="O11" t="str">
            <v>95391</v>
          </cell>
          <cell r="P11">
            <v>145</v>
          </cell>
        </row>
        <row r="12">
          <cell r="H12">
            <v>1256073</v>
          </cell>
          <cell r="I12">
            <v>9118927</v>
          </cell>
          <cell r="J12" t="str">
            <v>Laura Silvia Montoya</v>
          </cell>
          <cell r="K12" t="str">
            <v>555 Gorge Rd Unit# 6I</v>
          </cell>
          <cell r="M12" t="str">
            <v>Cliffside Park</v>
          </cell>
          <cell r="N12" t="str">
            <v>NJ</v>
          </cell>
          <cell r="O12" t="str">
            <v>07010</v>
          </cell>
          <cell r="P12">
            <v>145</v>
          </cell>
        </row>
        <row r="13">
          <cell r="H13">
            <v>1256143</v>
          </cell>
          <cell r="I13">
            <v>9118928</v>
          </cell>
          <cell r="J13" t="str">
            <v>Nithya Selvaraj</v>
          </cell>
          <cell r="K13" t="str">
            <v>1500 Hudson Street Unit# 12V</v>
          </cell>
          <cell r="M13" t="str">
            <v>Hoboken</v>
          </cell>
          <cell r="N13" t="str">
            <v>NJ</v>
          </cell>
          <cell r="O13" t="str">
            <v>07030</v>
          </cell>
          <cell r="P13">
            <v>145</v>
          </cell>
        </row>
        <row r="14">
          <cell r="H14">
            <v>1262418</v>
          </cell>
          <cell r="I14">
            <v>9120781</v>
          </cell>
          <cell r="J14" t="str">
            <v>Wong, Eric</v>
          </cell>
          <cell r="K14" t="str">
            <v>862 Southwood Blvd Unit# 2</v>
          </cell>
          <cell r="M14" t="str">
            <v>Incline Village</v>
          </cell>
          <cell r="N14" t="str">
            <v>NV</v>
          </cell>
          <cell r="O14" t="str">
            <v>89451</v>
          </cell>
          <cell r="P14">
            <v>145</v>
          </cell>
        </row>
        <row r="15">
          <cell r="H15">
            <v>1265192</v>
          </cell>
          <cell r="I15">
            <v>9126858</v>
          </cell>
          <cell r="J15" t="str">
            <v>Aaron  Feldman</v>
          </cell>
          <cell r="K15" t="str">
            <v>74 Thorne St # 2</v>
          </cell>
          <cell r="L15" t="str">
            <v>Jersey City</v>
          </cell>
          <cell r="M15" t="str">
            <v>Jersey City</v>
          </cell>
          <cell r="N15" t="str">
            <v>NJ</v>
          </cell>
          <cell r="O15" t="str">
            <v>07307</v>
          </cell>
          <cell r="P15">
            <v>95</v>
          </cell>
        </row>
        <row r="16">
          <cell r="H16">
            <v>1267126</v>
          </cell>
          <cell r="I16">
            <v>9129238</v>
          </cell>
          <cell r="J16" t="str">
            <v>Elijah-Francis &amp; Lesley, Caetta</v>
          </cell>
          <cell r="K16" t="str">
            <v>418 56th St Unit 308</v>
          </cell>
          <cell r="M16" t="str">
            <v>Kenosha</v>
          </cell>
          <cell r="N16" t="str">
            <v>WI</v>
          </cell>
          <cell r="O16" t="str">
            <v>53140</v>
          </cell>
          <cell r="P16">
            <v>145</v>
          </cell>
        </row>
        <row r="17">
          <cell r="H17">
            <v>1268421</v>
          </cell>
          <cell r="I17">
            <v>9129242</v>
          </cell>
          <cell r="J17" t="str">
            <v>Shannon Sturgil</v>
          </cell>
          <cell r="K17" t="str">
            <v>521 Larksong Dr</v>
          </cell>
          <cell r="M17" t="str">
            <v>Farragut</v>
          </cell>
          <cell r="N17" t="str">
            <v>TN</v>
          </cell>
          <cell r="O17" t="str">
            <v>37934</v>
          </cell>
          <cell r="P17">
            <v>145</v>
          </cell>
        </row>
        <row r="18">
          <cell r="H18">
            <v>1268448</v>
          </cell>
          <cell r="I18">
            <v>9129243</v>
          </cell>
          <cell r="J18" t="str">
            <v>David Cronin</v>
          </cell>
          <cell r="K18" t="str">
            <v>8534 E Monterey Way</v>
          </cell>
          <cell r="M18" t="str">
            <v>Scottsdale</v>
          </cell>
          <cell r="N18" t="str">
            <v>AZ</v>
          </cell>
          <cell r="O18" t="str">
            <v>85251</v>
          </cell>
          <cell r="P18">
            <v>145</v>
          </cell>
        </row>
        <row r="19">
          <cell r="H19">
            <v>1269376</v>
          </cell>
          <cell r="I19">
            <v>9129664</v>
          </cell>
          <cell r="J19" t="str">
            <v>Vincent M Petrolle</v>
          </cell>
          <cell r="K19" t="str">
            <v>718 Ironwood Ln</v>
          </cell>
          <cell r="M19" t="str">
            <v>Oxford</v>
          </cell>
          <cell r="N19" t="str">
            <v>MS</v>
          </cell>
          <cell r="O19" t="str">
            <v>38655</v>
          </cell>
          <cell r="P19">
            <v>145</v>
          </cell>
        </row>
        <row r="20">
          <cell r="H20">
            <v>1270857</v>
          </cell>
          <cell r="I20">
            <v>9131715</v>
          </cell>
          <cell r="J20" t="str">
            <v>Ernest D Hart &amp; Evelyn D Hart</v>
          </cell>
          <cell r="K20" t="str">
            <v>2076 Mount Zion Road</v>
          </cell>
          <cell r="M20" t="str">
            <v>Buena Vista</v>
          </cell>
          <cell r="N20" t="str">
            <v>GA</v>
          </cell>
          <cell r="O20" t="str">
            <v>31803</v>
          </cell>
          <cell r="P20">
            <v>145</v>
          </cell>
        </row>
        <row r="21">
          <cell r="H21">
            <v>1271128</v>
          </cell>
          <cell r="I21">
            <v>9131716</v>
          </cell>
          <cell r="J21" t="str">
            <v>Pandian Chandra Sekara Rajapandi</v>
          </cell>
          <cell r="K21" t="str">
            <v>527 Oceania Lane</v>
          </cell>
          <cell r="M21" t="str">
            <v>Seagoville</v>
          </cell>
          <cell r="N21" t="str">
            <v>TX</v>
          </cell>
          <cell r="O21" t="str">
            <v>75159</v>
          </cell>
          <cell r="P21">
            <v>145</v>
          </cell>
        </row>
        <row r="22">
          <cell r="H22">
            <v>1271502</v>
          </cell>
          <cell r="I22">
            <v>9133690</v>
          </cell>
          <cell r="J22" t="str">
            <v>Bryan  Lentz</v>
          </cell>
          <cell r="K22" t="str">
            <v>102 Rustic Hills Circle</v>
          </cell>
          <cell r="M22" t="str">
            <v>Denver</v>
          </cell>
          <cell r="N22" t="str">
            <v>IA</v>
          </cell>
          <cell r="O22" t="str">
            <v>50622</v>
          </cell>
          <cell r="P22">
            <v>160</v>
          </cell>
        </row>
      </sheetData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6E718-C3CA-48F1-B70A-9D90F96321D7}">
  <dimension ref="A1:K3"/>
  <sheetViews>
    <sheetView tabSelected="1" workbookViewId="0">
      <selection activeCell="D3" sqref="D3"/>
    </sheetView>
  </sheetViews>
  <sheetFormatPr defaultColWidth="117.42578125" defaultRowHeight="13.5" x14ac:dyDescent="0.25"/>
  <cols>
    <col min="1" max="1" width="8" bestFit="1" customWidth="1"/>
    <col min="2" max="2" width="17.5703125" bestFit="1" customWidth="1"/>
    <col min="3" max="3" width="14.140625" bestFit="1" customWidth="1"/>
    <col min="4" max="4" width="10.42578125" bestFit="1" customWidth="1"/>
    <col min="5" max="5" width="6.42578125" bestFit="1" customWidth="1"/>
    <col min="6" max="6" width="4.28515625" bestFit="1" customWidth="1"/>
    <col min="7" max="7" width="4.42578125" bestFit="1" customWidth="1"/>
    <col min="8" max="8" width="12.5703125" bestFit="1" customWidth="1"/>
    <col min="9" max="9" width="18.5703125" bestFit="1" customWidth="1"/>
    <col min="10" max="10" width="25.85546875" bestFit="1" customWidth="1"/>
    <col min="11" max="11" width="6.42578125" bestFit="1" customWidth="1"/>
  </cols>
  <sheetData>
    <row r="1" spans="1:11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4" t="s">
        <v>10</v>
      </c>
    </row>
    <row r="2" spans="1:11" x14ac:dyDescent="0.25">
      <c r="A2" s="6">
        <v>1251490</v>
      </c>
      <c r="B2" s="7" t="s">
        <v>11</v>
      </c>
      <c r="C2" s="8">
        <v>45660</v>
      </c>
      <c r="D2" s="9">
        <v>375</v>
      </c>
      <c r="E2" s="10"/>
      <c r="F2" s="10"/>
      <c r="G2" s="10"/>
      <c r="H2" s="10"/>
      <c r="I2" s="10"/>
      <c r="J2" s="9">
        <f t="shared" ref="J2:J3" si="0">(E2+F2+G2)*5%</f>
        <v>0</v>
      </c>
      <c r="K2" s="10">
        <f t="shared" ref="K2:K3" si="1">SUM(D2:J2)</f>
        <v>375</v>
      </c>
    </row>
    <row r="3" spans="1:11" x14ac:dyDescent="0.25">
      <c r="A3" s="6">
        <v>1251502</v>
      </c>
      <c r="B3" s="7" t="s">
        <v>11</v>
      </c>
      <c r="C3" s="8">
        <v>45659</v>
      </c>
      <c r="D3" s="9">
        <v>375</v>
      </c>
      <c r="E3" s="10">
        <f>VLOOKUP(A3,[1]Sterwart!$H$2:$P$22,9,0)</f>
        <v>145</v>
      </c>
      <c r="F3" s="10"/>
      <c r="G3" s="10"/>
      <c r="H3" s="10"/>
      <c r="I3" s="10"/>
      <c r="J3" s="9">
        <f t="shared" si="0"/>
        <v>7.25</v>
      </c>
      <c r="K3" s="10">
        <f t="shared" si="1"/>
        <v>527.25</v>
      </c>
    </row>
  </sheetData>
  <conditionalFormatting sqref="A2:A3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Nilkanth Nikam</dc:creator>
  <cp:lastModifiedBy>Nilkanth Nikam</cp:lastModifiedBy>
  <dcterms:created xsi:type="dcterms:W3CDTF">2025-03-14T09:57:38Z</dcterms:created>
  <dcterms:modified xsi:type="dcterms:W3CDTF">2025-03-14T09:59:10Z</dcterms:modified>
</cp:coreProperties>
</file>