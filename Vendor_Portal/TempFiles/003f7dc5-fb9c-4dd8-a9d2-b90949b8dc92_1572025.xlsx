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3FC61CBF-1495-47C7-A869-FB05C728969B}" xr6:coauthVersionLast="47" xr6:coauthVersionMax="47" xr10:uidLastSave="{00000000-0000-0000-0000-000000000000}"/>
  <bookViews>
    <workbookView xWindow="-120" yWindow="-120" windowWidth="21840" windowHeight="13140" xr2:uid="{3AD62D39-9A99-4C0A-940C-67CA17CFD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N4" i="1" s="1"/>
  <c r="M4" i="1"/>
  <c r="L3" i="1"/>
  <c r="N3" i="1" s="1"/>
  <c r="M3" i="1"/>
  <c r="W2" i="1"/>
  <c r="V2" i="1"/>
  <c r="P2" i="1"/>
  <c r="O2" i="1"/>
  <c r="N2" i="1"/>
  <c r="M2" i="1"/>
  <c r="L2" i="1"/>
  <c r="P4" i="1" l="1"/>
  <c r="O4" i="1"/>
  <c r="V4" i="1" s="1"/>
  <c r="W4" i="1" s="1"/>
  <c r="P3" i="1"/>
  <c r="O3" i="1"/>
  <c r="V3" i="1" s="1"/>
  <c r="W3" i="1" s="1"/>
</calcChain>
</file>

<file path=xl/sharedStrings.xml><?xml version="1.0" encoding="utf-8"?>
<sst xmlns="http://schemas.openxmlformats.org/spreadsheetml/2006/main" count="112" uniqueCount="68">
  <si>
    <t>June</t>
  </si>
  <si>
    <t>Code</t>
  </si>
  <si>
    <t>Month</t>
  </si>
  <si>
    <t>Year</t>
  </si>
  <si>
    <t>Net Days</t>
  </si>
  <si>
    <t>Full Days</t>
  </si>
  <si>
    <t>Partial Days</t>
  </si>
  <si>
    <t>Latemark</t>
  </si>
  <si>
    <t>Total Days</t>
  </si>
  <si>
    <t>Basic</t>
  </si>
  <si>
    <t>HRA</t>
  </si>
  <si>
    <t>Profile Salary</t>
  </si>
  <si>
    <t>Due Salary</t>
  </si>
  <si>
    <t>ESI</t>
  </si>
  <si>
    <t>PF</t>
  </si>
  <si>
    <t>Prof. Tax</t>
  </si>
  <si>
    <t>TDS</t>
  </si>
  <si>
    <t>Advance</t>
  </si>
  <si>
    <t>MLWF</t>
  </si>
  <si>
    <t>Other</t>
  </si>
  <si>
    <t>Total Deduction</t>
  </si>
  <si>
    <t>Net Salary</t>
  </si>
  <si>
    <t>UPC</t>
  </si>
  <si>
    <t>BGN</t>
  </si>
  <si>
    <t>MCZ</t>
  </si>
  <si>
    <t>SalaryId</t>
  </si>
  <si>
    <t>EmployeeID</t>
  </si>
  <si>
    <t>FullDay</t>
  </si>
  <si>
    <t>PartialDay</t>
  </si>
  <si>
    <t>PartialDayCount</t>
  </si>
  <si>
    <t>LateMark</t>
  </si>
  <si>
    <t>TotalDays</t>
  </si>
  <si>
    <t>ExtraHoursInDays</t>
  </si>
  <si>
    <t>TotalDaysWithExtra</t>
  </si>
  <si>
    <t>ExtraDaysSalary</t>
  </si>
  <si>
    <t>DueSalary</t>
  </si>
  <si>
    <t>Basic1</t>
  </si>
  <si>
    <t>HRA1</t>
  </si>
  <si>
    <t>DA1</t>
  </si>
  <si>
    <t>MR1</t>
  </si>
  <si>
    <t>TA1</t>
  </si>
  <si>
    <t>EA1</t>
  </si>
  <si>
    <t>HA1</t>
  </si>
  <si>
    <t>ProfTax</t>
  </si>
  <si>
    <t>TotalDeduction</t>
  </si>
  <si>
    <t>Incentive</t>
  </si>
  <si>
    <t>Penalty</t>
  </si>
  <si>
    <t>TotalEarning</t>
  </si>
  <si>
    <t>NetSalary</t>
  </si>
  <si>
    <t>Received</t>
  </si>
  <si>
    <t>Hold</t>
  </si>
  <si>
    <t>HoldRemark</t>
  </si>
  <si>
    <t>Approved</t>
  </si>
  <si>
    <t>NetDays</t>
  </si>
  <si>
    <t>ActualDays</t>
  </si>
  <si>
    <t>ExtraDays</t>
  </si>
  <si>
    <t>NightBonus</t>
  </si>
  <si>
    <t>OtherIncentive</t>
  </si>
  <si>
    <t>ProfileSalary</t>
  </si>
  <si>
    <t>PolicyPremium</t>
  </si>
  <si>
    <t>ProductionIncentive</t>
  </si>
  <si>
    <t>SalaryIncentive</t>
  </si>
  <si>
    <t>AttendanceBonus</t>
  </si>
  <si>
    <t>DeductedDays</t>
  </si>
  <si>
    <t>QualityBonus</t>
  </si>
  <si>
    <t>SalaryArrears</t>
  </si>
  <si>
    <t>May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</si>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</sst>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ptos Narrow"/>
      <family val="2"/>
    </font>
    <font>
      <sz val="9"/>
      <color theme="1"/>
      <name val="Biome"/>
      <family val="2"/>
    </font>
    <font>
      <b/>
      <sz val="9"/>
      <color theme="1"/>
      <name val="Biom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2A76C-6AAB-40C1-9289-B928AB1B7534}">
  <dimension ref="A1:AW16"/>
  <sheetViews>
    <sheetView tabSelected="1" workbookViewId="0">
      <selection activeCell="L14" sqref="L14:L16"/>
    </sheetView>
  </sheetViews>
  <sheetFormatPr defaultRowHeight="13.5" x14ac:dyDescent="0.25"/>
  <cols>
    <col min="1" max="1" width="6.28515625" bestFit="1" customWidth="1"/>
    <col min="2" max="2" width="7.85546875" bestFit="1" customWidth="1"/>
    <col min="3" max="3" width="5.5703125" bestFit="1" customWidth="1"/>
    <col min="4" max="5" width="10.140625" bestFit="1" customWidth="1"/>
    <col min="6" max="6" width="13" bestFit="1" customWidth="1"/>
    <col min="7" max="7" width="10.5703125" bestFit="1" customWidth="1"/>
    <col min="8" max="8" width="11.5703125" bestFit="1" customWidth="1"/>
    <col min="9" max="9" width="6.28515625" bestFit="1" customWidth="1"/>
    <col min="10" max="10" width="5.5703125" bestFit="1" customWidth="1"/>
    <col min="11" max="11" width="14.7109375" bestFit="1" customWidth="1"/>
    <col min="12" max="12" width="6.28515625" bestFit="1" customWidth="1"/>
    <col min="13" max="13" width="5.5703125" bestFit="1" customWidth="1"/>
    <col min="14" max="14" width="11.85546875" bestFit="1" customWidth="1"/>
    <col min="15" max="15" width="4.5703125" bestFit="1" customWidth="1"/>
    <col min="16" max="16" width="4.42578125" bestFit="1" customWidth="1"/>
    <col min="17" max="17" width="10.140625" bestFit="1" customWidth="1"/>
    <col min="18" max="18" width="5.140625" bestFit="1" customWidth="1"/>
    <col min="19" max="19" width="9.5703125" bestFit="1" customWidth="1"/>
    <col min="20" max="20" width="7.42578125" bestFit="1" customWidth="1"/>
    <col min="21" max="21" width="6.85546875" bestFit="1" customWidth="1"/>
    <col min="22" max="22" width="17.140625" bestFit="1" customWidth="1"/>
    <col min="23" max="23" width="11.5703125" bestFit="1" customWidth="1"/>
  </cols>
  <sheetData>
    <row r="1" spans="1:4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9</v>
      </c>
      <c r="M1" s="1" t="s">
        <v>10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49" x14ac:dyDescent="0.25">
      <c r="A2" s="2" t="s">
        <v>22</v>
      </c>
      <c r="B2" s="2" t="s">
        <v>0</v>
      </c>
      <c r="C2" s="2">
        <v>2025</v>
      </c>
      <c r="D2" s="2">
        <v>31</v>
      </c>
      <c r="E2" s="2">
        <v>16</v>
      </c>
      <c r="F2" s="2">
        <v>0.51</v>
      </c>
      <c r="G2" s="2">
        <v>0</v>
      </c>
      <c r="H2" s="2">
        <v>16.510000000000002</v>
      </c>
      <c r="I2" s="2">
        <v>4335</v>
      </c>
      <c r="J2" s="2">
        <v>4165</v>
      </c>
      <c r="K2" s="2">
        <v>8500</v>
      </c>
      <c r="L2" s="2">
        <f>ROUND((I2/D2)*H2,0)</f>
        <v>2309</v>
      </c>
      <c r="M2" s="2">
        <f>ROUND((J2/D2)*H2,0)</f>
        <v>2218</v>
      </c>
      <c r="N2" s="2">
        <f>SUM(L2:M2)</f>
        <v>4527</v>
      </c>
      <c r="O2" s="2">
        <f>ROUND(N2*0.75%,0)</f>
        <v>34</v>
      </c>
      <c r="P2" s="2">
        <f>ROUND(L2*12%,0)</f>
        <v>277</v>
      </c>
      <c r="Q2" s="2">
        <v>0</v>
      </c>
      <c r="R2" s="2">
        <v>0</v>
      </c>
      <c r="S2" s="2">
        <v>0</v>
      </c>
      <c r="T2" s="2">
        <v>25</v>
      </c>
      <c r="U2" s="2">
        <v>0</v>
      </c>
      <c r="V2" s="2">
        <f>SUM(O2:U2)</f>
        <v>336</v>
      </c>
      <c r="W2" s="2">
        <f>N2-V2</f>
        <v>4191</v>
      </c>
    </row>
    <row r="3" spans="1:49" x14ac:dyDescent="0.25">
      <c r="A3" s="2" t="s">
        <v>23</v>
      </c>
      <c r="B3" s="2" t="s">
        <v>0</v>
      </c>
      <c r="C3" s="2">
        <v>2025</v>
      </c>
      <c r="D3" s="2">
        <v>31</v>
      </c>
      <c r="E3" s="2">
        <v>6</v>
      </c>
      <c r="F3" s="2">
        <v>0</v>
      </c>
      <c r="G3" s="2">
        <v>0</v>
      </c>
      <c r="H3" s="2">
        <v>6</v>
      </c>
      <c r="I3" s="2">
        <v>6375</v>
      </c>
      <c r="J3" s="2">
        <v>6125</v>
      </c>
      <c r="K3" s="2">
        <v>12500</v>
      </c>
      <c r="L3" s="2">
        <f>ROUND((I3/D3)*H3,0)</f>
        <v>1234</v>
      </c>
      <c r="M3" s="2">
        <f>ROUND((J3/D3)*H3,0)</f>
        <v>1185</v>
      </c>
      <c r="N3" s="2">
        <f>SUM(L3:M3)</f>
        <v>2419</v>
      </c>
      <c r="O3" s="2">
        <f>ROUND(N3*0.75%,0)</f>
        <v>18</v>
      </c>
      <c r="P3" s="2">
        <f>ROUND(L3*12%,0)</f>
        <v>148</v>
      </c>
      <c r="Q3" s="2">
        <v>0</v>
      </c>
      <c r="R3" s="2">
        <v>0</v>
      </c>
      <c r="S3" s="2">
        <v>0</v>
      </c>
      <c r="T3" s="2">
        <v>25</v>
      </c>
      <c r="U3" s="2">
        <v>0</v>
      </c>
      <c r="V3" s="2">
        <f>SUM(O3:U3)</f>
        <v>191</v>
      </c>
      <c r="W3" s="2">
        <f>N3-V3</f>
        <v>2228</v>
      </c>
    </row>
    <row r="4" spans="1:49" x14ac:dyDescent="0.25">
      <c r="A4" s="2" t="s">
        <v>24</v>
      </c>
      <c r="B4" s="2" t="s">
        <v>0</v>
      </c>
      <c r="C4" s="2">
        <v>2025</v>
      </c>
      <c r="D4" s="2">
        <v>31</v>
      </c>
      <c r="E4" s="2">
        <v>7</v>
      </c>
      <c r="F4" s="2">
        <v>0</v>
      </c>
      <c r="G4" s="2">
        <v>0</v>
      </c>
      <c r="H4" s="2">
        <v>7</v>
      </c>
      <c r="I4" s="2">
        <v>6375</v>
      </c>
      <c r="J4" s="2">
        <v>6125</v>
      </c>
      <c r="K4" s="2">
        <v>12500</v>
      </c>
      <c r="L4" s="2">
        <f>ROUND((I4/D4)*H4,0)</f>
        <v>1440</v>
      </c>
      <c r="M4" s="2">
        <f>ROUND((J4/D4)*H4,0)</f>
        <v>1383</v>
      </c>
      <c r="N4" s="2">
        <f>SUM(L4:M4)</f>
        <v>2823</v>
      </c>
      <c r="O4" s="2">
        <f>ROUND(N4*0.75%,0)</f>
        <v>21</v>
      </c>
      <c r="P4" s="2">
        <f>ROUND(L4*12%,0)</f>
        <v>173</v>
      </c>
      <c r="Q4" s="2">
        <v>0</v>
      </c>
      <c r="R4" s="2">
        <v>0</v>
      </c>
      <c r="S4" s="2">
        <v>0</v>
      </c>
      <c r="T4" s="2">
        <v>25</v>
      </c>
      <c r="U4" s="2">
        <v>0</v>
      </c>
      <c r="V4" s="2">
        <f>SUM(O4:U4)</f>
        <v>219</v>
      </c>
      <c r="W4" s="2">
        <f>N4-V4</f>
        <v>2604</v>
      </c>
    </row>
    <row r="7" spans="1:49" x14ac:dyDescent="0.2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9</v>
      </c>
      <c r="M7" s="3" t="s">
        <v>10</v>
      </c>
      <c r="N7" s="3" t="s">
        <v>12</v>
      </c>
      <c r="O7" s="3" t="s">
        <v>13</v>
      </c>
      <c r="P7" s="3" t="s">
        <v>14</v>
      </c>
      <c r="Q7" s="3" t="s">
        <v>15</v>
      </c>
      <c r="R7" s="3" t="s">
        <v>16</v>
      </c>
      <c r="S7" s="3" t="s">
        <v>17</v>
      </c>
      <c r="T7" s="3" t="s">
        <v>18</v>
      </c>
      <c r="U7" s="3" t="s">
        <v>19</v>
      </c>
      <c r="V7" s="3" t="s">
        <v>20</v>
      </c>
      <c r="W7" s="3" t="s">
        <v>21</v>
      </c>
    </row>
    <row r="8" spans="1:49" x14ac:dyDescent="0.25">
      <c r="A8" s="3" t="s">
        <v>22</v>
      </c>
      <c r="B8" s="3" t="s">
        <v>0</v>
      </c>
      <c r="C8" s="3">
        <v>2025</v>
      </c>
      <c r="D8" s="3">
        <v>31</v>
      </c>
      <c r="E8" s="3">
        <v>16</v>
      </c>
      <c r="F8" s="3">
        <v>0.51</v>
      </c>
      <c r="G8" s="3">
        <v>0</v>
      </c>
      <c r="H8" s="3">
        <v>16.510000000000002</v>
      </c>
      <c r="I8" s="3">
        <v>4335</v>
      </c>
      <c r="J8" s="3">
        <v>4165</v>
      </c>
      <c r="K8" s="3">
        <v>8500</v>
      </c>
      <c r="L8" s="3">
        <v>2309</v>
      </c>
      <c r="M8" s="3">
        <v>2218</v>
      </c>
      <c r="N8" s="3">
        <v>4527</v>
      </c>
      <c r="O8" s="3">
        <v>34</v>
      </c>
      <c r="P8" s="3">
        <v>277</v>
      </c>
      <c r="Q8" s="3">
        <v>0</v>
      </c>
      <c r="R8" s="3">
        <v>0</v>
      </c>
      <c r="S8" s="3">
        <v>0</v>
      </c>
      <c r="T8" s="3">
        <v>25</v>
      </c>
      <c r="U8" s="3">
        <v>0</v>
      </c>
      <c r="V8" s="3">
        <v>336</v>
      </c>
      <c r="W8" s="3">
        <v>4191</v>
      </c>
    </row>
    <row r="9" spans="1:49" x14ac:dyDescent="0.25">
      <c r="A9" s="3" t="s">
        <v>23</v>
      </c>
      <c r="B9" s="3" t="s">
        <v>0</v>
      </c>
      <c r="C9" s="3">
        <v>2025</v>
      </c>
      <c r="D9" s="3">
        <v>31</v>
      </c>
      <c r="E9" s="3">
        <v>6</v>
      </c>
      <c r="F9" s="3">
        <v>0</v>
      </c>
      <c r="G9" s="3">
        <v>0</v>
      </c>
      <c r="H9" s="3">
        <v>6</v>
      </c>
      <c r="I9" s="3">
        <v>6375</v>
      </c>
      <c r="J9" s="3">
        <v>6125</v>
      </c>
      <c r="K9" s="3">
        <v>12500</v>
      </c>
      <c r="L9" s="3">
        <v>1234</v>
      </c>
      <c r="M9" s="3">
        <v>1185</v>
      </c>
      <c r="N9" s="3">
        <v>2419</v>
      </c>
      <c r="O9" s="3">
        <v>18</v>
      </c>
      <c r="P9" s="3">
        <v>148</v>
      </c>
      <c r="Q9" s="3">
        <v>0</v>
      </c>
      <c r="R9" s="3">
        <v>0</v>
      </c>
      <c r="S9" s="3">
        <v>0</v>
      </c>
      <c r="T9" s="3">
        <v>25</v>
      </c>
      <c r="U9" s="3">
        <v>0</v>
      </c>
      <c r="V9" s="3">
        <v>191</v>
      </c>
      <c r="W9" s="3">
        <v>2228</v>
      </c>
    </row>
    <row r="10" spans="1:49" x14ac:dyDescent="0.25">
      <c r="A10" s="3" t="s">
        <v>24</v>
      </c>
      <c r="B10" s="3" t="s">
        <v>0</v>
      </c>
      <c r="C10" s="3">
        <v>2025</v>
      </c>
      <c r="D10" s="3">
        <v>31</v>
      </c>
      <c r="E10" s="3">
        <v>7</v>
      </c>
      <c r="F10" s="3">
        <v>0</v>
      </c>
      <c r="G10" s="3">
        <v>0</v>
      </c>
      <c r="H10" s="3">
        <v>7</v>
      </c>
      <c r="I10" s="3">
        <v>6375</v>
      </c>
      <c r="J10" s="3">
        <v>6125</v>
      </c>
      <c r="K10" s="3">
        <v>12500</v>
      </c>
      <c r="L10" s="3">
        <v>1440</v>
      </c>
      <c r="M10" s="3">
        <v>1383</v>
      </c>
      <c r="N10" s="3">
        <v>2823</v>
      </c>
      <c r="O10" s="3">
        <v>21</v>
      </c>
      <c r="P10" s="3">
        <v>173</v>
      </c>
      <c r="Q10" s="3">
        <v>0</v>
      </c>
      <c r="R10" s="3">
        <v>0</v>
      </c>
      <c r="S10" s="3">
        <v>0</v>
      </c>
      <c r="T10" s="3">
        <v>25</v>
      </c>
      <c r="U10" s="3">
        <v>0</v>
      </c>
      <c r="V10" s="3">
        <v>219</v>
      </c>
      <c r="W10" s="3">
        <v>2604</v>
      </c>
    </row>
    <row r="13" spans="1:49" x14ac:dyDescent="0.25">
      <c r="A13" t="s">
        <v>25</v>
      </c>
      <c r="B13" t="s">
        <v>2</v>
      </c>
      <c r="C13" t="s">
        <v>3</v>
      </c>
      <c r="D13" t="s">
        <v>26</v>
      </c>
      <c r="E13" t="s">
        <v>27</v>
      </c>
      <c r="F13" t="s">
        <v>28</v>
      </c>
      <c r="G13" t="s">
        <v>29</v>
      </c>
      <c r="H13" t="s">
        <v>30</v>
      </c>
      <c r="I13" t="s">
        <v>31</v>
      </c>
      <c r="J13" t="s">
        <v>32</v>
      </c>
      <c r="K13" t="s">
        <v>33</v>
      </c>
      <c r="L13" t="s">
        <v>34</v>
      </c>
      <c r="M13" t="s">
        <v>35</v>
      </c>
      <c r="N13" t="s">
        <v>36</v>
      </c>
      <c r="O13" t="s">
        <v>37</v>
      </c>
      <c r="P13" t="s">
        <v>38</v>
      </c>
      <c r="Q13" t="s">
        <v>39</v>
      </c>
      <c r="R13" t="s">
        <v>40</v>
      </c>
      <c r="S13" t="s">
        <v>41</v>
      </c>
      <c r="T13" t="s">
        <v>42</v>
      </c>
      <c r="U13" t="s">
        <v>13</v>
      </c>
      <c r="V13" t="s">
        <v>14</v>
      </c>
      <c r="W13" t="s">
        <v>43</v>
      </c>
      <c r="X13" t="s">
        <v>16</v>
      </c>
      <c r="Y13" t="s">
        <v>18</v>
      </c>
      <c r="Z13" t="s">
        <v>19</v>
      </c>
      <c r="AA13" t="s">
        <v>44</v>
      </c>
      <c r="AB13" t="s">
        <v>45</v>
      </c>
      <c r="AC13" t="s">
        <v>46</v>
      </c>
      <c r="AD13" t="s">
        <v>17</v>
      </c>
      <c r="AE13" t="s">
        <v>47</v>
      </c>
      <c r="AF13" t="s">
        <v>48</v>
      </c>
      <c r="AG13" t="s">
        <v>49</v>
      </c>
      <c r="AH13" t="s">
        <v>50</v>
      </c>
      <c r="AI13" t="s">
        <v>51</v>
      </c>
      <c r="AJ13" t="s">
        <v>52</v>
      </c>
      <c r="AK13" t="s">
        <v>53</v>
      </c>
      <c r="AL13" t="s">
        <v>54</v>
      </c>
      <c r="AM13" t="s">
        <v>55</v>
      </c>
      <c r="AN13" t="s">
        <v>56</v>
      </c>
      <c r="AO13" t="s">
        <v>57</v>
      </c>
      <c r="AP13" t="s">
        <v>58</v>
      </c>
      <c r="AQ13" t="s">
        <v>59</v>
      </c>
      <c r="AR13" t="s">
        <v>60</v>
      </c>
      <c r="AS13" t="s">
        <v>61</v>
      </c>
      <c r="AT13" t="s">
        <v>62</v>
      </c>
      <c r="AU13" t="s">
        <v>63</v>
      </c>
      <c r="AV13" t="s">
        <v>64</v>
      </c>
      <c r="AW13" t="s">
        <v>65</v>
      </c>
    </row>
    <row r="14" spans="1:49" x14ac:dyDescent="0.25">
      <c r="A14">
        <v>5302025</v>
      </c>
      <c r="B14" t="s">
        <v>66</v>
      </c>
      <c r="C14">
        <v>2025</v>
      </c>
      <c r="D14">
        <v>235</v>
      </c>
      <c r="E14" s="3">
        <v>16</v>
      </c>
      <c r="F14" s="3">
        <v>0.51</v>
      </c>
      <c r="G14">
        <v>1</v>
      </c>
      <c r="H14" s="3">
        <v>0</v>
      </c>
      <c r="I14" s="3">
        <v>16.510000000000002</v>
      </c>
      <c r="J14">
        <v>0</v>
      </c>
      <c r="K14" s="3">
        <v>16.510000000000002</v>
      </c>
      <c r="L14">
        <v>0</v>
      </c>
      <c r="M14">
        <v>156800</v>
      </c>
      <c r="N14">
        <v>16000</v>
      </c>
      <c r="O14">
        <v>140800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200</v>
      </c>
      <c r="X14">
        <v>0</v>
      </c>
      <c r="Y14">
        <v>0</v>
      </c>
      <c r="Z14">
        <v>0</v>
      </c>
      <c r="AA14">
        <v>200</v>
      </c>
      <c r="AB14">
        <v>0</v>
      </c>
      <c r="AC14">
        <v>0</v>
      </c>
      <c r="AD14">
        <v>0</v>
      </c>
      <c r="AE14">
        <v>0</v>
      </c>
      <c r="AF14">
        <v>156600</v>
      </c>
      <c r="AG14">
        <v>0</v>
      </c>
      <c r="AH14">
        <v>0</v>
      </c>
      <c r="AI14" t="s">
        <v>67</v>
      </c>
      <c r="AJ14">
        <v>0</v>
      </c>
      <c r="AK14">
        <v>30</v>
      </c>
      <c r="AL14">
        <v>30</v>
      </c>
      <c r="AM14">
        <v>0</v>
      </c>
      <c r="AN14">
        <v>0</v>
      </c>
      <c r="AO14">
        <v>0</v>
      </c>
      <c r="AP14">
        <v>156800</v>
      </c>
      <c r="AQ14" t="s">
        <v>67</v>
      </c>
      <c r="AR14" t="s">
        <v>67</v>
      </c>
      <c r="AS14">
        <v>0</v>
      </c>
      <c r="AT14">
        <v>0</v>
      </c>
      <c r="AU14">
        <v>30</v>
      </c>
      <c r="AV14">
        <v>0</v>
      </c>
      <c r="AW14" t="s">
        <v>67</v>
      </c>
    </row>
    <row r="15" spans="1:49" x14ac:dyDescent="0.25">
      <c r="E15" s="3">
        <v>6</v>
      </c>
      <c r="F15" s="3">
        <v>0</v>
      </c>
      <c r="G15">
        <v>0</v>
      </c>
      <c r="H15" s="3">
        <v>0</v>
      </c>
      <c r="I15" s="3">
        <v>6</v>
      </c>
      <c r="J15">
        <v>0</v>
      </c>
      <c r="K15" s="3">
        <v>6</v>
      </c>
    </row>
    <row r="16" spans="1:49" x14ac:dyDescent="0.25">
      <c r="E16" s="3">
        <v>7</v>
      </c>
      <c r="F16" s="3">
        <v>0</v>
      </c>
      <c r="G16">
        <v>0</v>
      </c>
      <c r="H16" s="3">
        <v>0</v>
      </c>
      <c r="I16" s="3">
        <v>7</v>
      </c>
      <c r="J16">
        <v>0</v>
      </c>
      <c r="K16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2025-07-03T12:26:02Z</dcterms:created>
  <dcterms:modified xsi:type="dcterms:W3CDTF">2025-07-10T08:33:37Z</dcterms:modified>
</cp:coreProperties>
</file>